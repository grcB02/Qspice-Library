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\Desktop\faculdade (Pasta nova)\Mestrado\Formula Student\Coisa Qspice\Qspice-Library\Simbolos\"/>
    </mc:Choice>
  </mc:AlternateContent>
  <xr:revisionPtr revIDLastSave="0" documentId="13_ncr:1_{F084EAE5-62C6-4808-88F2-68FAC8DC3DDC}" xr6:coauthVersionLast="47" xr6:coauthVersionMax="47" xr10:uidLastSave="{00000000-0000-0000-0000-000000000000}"/>
  <bookViews>
    <workbookView xWindow="-120" yWindow="-120" windowWidth="29040" windowHeight="15840" activeTab="2" xr2:uid="{1AEE4442-FBE4-43B0-AA6E-ACCDBFA4DCB0}"/>
  </bookViews>
  <sheets>
    <sheet name="Comparadores" sheetId="1" r:id="rId1"/>
    <sheet name="BJTs" sheetId="3" r:id="rId2"/>
    <sheet name="Mosfe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</calcChain>
</file>

<file path=xl/sharedStrings.xml><?xml version="1.0" encoding="utf-8"?>
<sst xmlns="http://schemas.openxmlformats.org/spreadsheetml/2006/main" count="56" uniqueCount="46">
  <si>
    <t>Canais</t>
  </si>
  <si>
    <t>Vcc Max (V)</t>
  </si>
  <si>
    <t>Prop. Delay (ns)</t>
  </si>
  <si>
    <t>V_offset (mV)</t>
  </si>
  <si>
    <t>Tipo de Saída</t>
  </si>
  <si>
    <t>Rail-to-Rail</t>
  </si>
  <si>
    <t>Notas/Uso Típico</t>
  </si>
  <si>
    <t>Open Collector</t>
  </si>
  <si>
    <t>Não</t>
  </si>
  <si>
    <t>0.4 mA</t>
  </si>
  <si>
    <t>Componente</t>
  </si>
  <si>
    <t>Corrente de Repouso</t>
  </si>
  <si>
    <t>LM2903B</t>
  </si>
  <si>
    <t>Vcc Min (V)</t>
  </si>
  <si>
    <t>Input min</t>
  </si>
  <si>
    <t>Input Max</t>
  </si>
  <si>
    <t>(V+)-2</t>
  </si>
  <si>
    <t>Encapsulamento</t>
  </si>
  <si>
    <t>FDN337N</t>
  </si>
  <si>
    <t>1.0 - 3.0</t>
  </si>
  <si>
    <t>FDN340P</t>
  </si>
  <si>
    <t>Tipo</t>
  </si>
  <si>
    <t>VDS (V)</t>
  </si>
  <si>
    <t>ID (A)</t>
  </si>
  <si>
    <t>VGS Max (V)</t>
  </si>
  <si>
    <t>RDS(on) Max</t>
  </si>
  <si>
    <t>VGS(th) (V)</t>
  </si>
  <si>
    <t>Qg (nC)</t>
  </si>
  <si>
    <t>PD Max (W)</t>
  </si>
  <si>
    <t>N</t>
  </si>
  <si>
    <t>±8</t>
  </si>
  <si>
    <t>65mΩ @ 4.5V</t>
  </si>
  <si>
    <t>P</t>
  </si>
  <si>
    <t>70mΩ @ -4.5V</t>
  </si>
  <si>
    <t>Notas</t>
  </si>
  <si>
    <t>VCEO Max (V)</t>
  </si>
  <si>
    <t>IC Max (A)</t>
  </si>
  <si>
    <t>VCE(sat) Max (V)</t>
  </si>
  <si>
    <t>30C02MH</t>
  </si>
  <si>
    <t>NPN</t>
  </si>
  <si>
    <t>300 - 800</t>
  </si>
  <si>
    <t>0.19 @ 200mA</t>
  </si>
  <si>
    <t>MCPH3 (SC-70)</t>
  </si>
  <si>
    <t>H (Ganho Min-Max)</t>
  </si>
  <si>
    <t>Simula limites do componente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</si>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</sst>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4" fillId="2" borderId="1" xfId="1" applyBorder="1" applyAlignment="1">
      <alignment horizontal="left" vertical="center" wrapText="1" indent="1" readingOrder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7AEAF-12FF-46B3-81D1-C75236B9FFDD}">
  <dimension ref="B2:N11"/>
  <sheetViews>
    <sheetView zoomScale="115" zoomScaleNormal="115" workbookViewId="0">
      <selection activeCell="N3" sqref="N3:N6"/>
    </sheetView>
  </sheetViews>
  <sheetFormatPr defaultRowHeight="15" x14ac:dyDescent="0.25"/>
  <cols>
    <col min="2" max="3" width="16.5703125" customWidth="1"/>
    <col min="4" max="4" width="9.85546875" customWidth="1"/>
    <col min="5" max="7" width="10.140625" customWidth="1"/>
    <col min="8" max="8" width="14.5703125" customWidth="1"/>
    <col min="9" max="9" width="14.7109375" customWidth="1"/>
    <col min="10" max="10" width="14.85546875" customWidth="1"/>
    <col min="11" max="11" width="14.42578125" customWidth="1"/>
    <col min="12" max="12" width="14.5703125" customWidth="1"/>
    <col min="13" max="13" width="16.42578125" customWidth="1"/>
    <col min="18" max="18" width="9" customWidth="1"/>
  </cols>
  <sheetData>
    <row r="2" spans="2:14" ht="15.75" thickBot="1" x14ac:dyDescent="0.3"/>
    <row r="3" spans="2:14" ht="75.75" thickBot="1" x14ac:dyDescent="0.3">
      <c r="B3" s="1" t="s">
        <v>10</v>
      </c>
      <c r="C3" s="1" t="s">
        <v>0</v>
      </c>
      <c r="D3" s="1" t="s">
        <v>13</v>
      </c>
      <c r="E3" s="1" t="s">
        <v>1</v>
      </c>
      <c r="F3" s="1" t="s">
        <v>14</v>
      </c>
      <c r="G3" s="1" t="s">
        <v>15</v>
      </c>
      <c r="H3" s="1" t="s">
        <v>2</v>
      </c>
      <c r="I3" s="1" t="s">
        <v>3</v>
      </c>
      <c r="J3" s="1" t="s">
        <v>4</v>
      </c>
      <c r="K3" s="1" t="s">
        <v>5</v>
      </c>
      <c r="L3" s="1" t="s">
        <v>11</v>
      </c>
      <c r="M3" s="1" t="s">
        <v>6</v>
      </c>
      <c r="N3" s="1" t="s">
        <v>44</v>
      </c>
    </row>
    <row r="4" spans="2:14" ht="29.25" thickBot="1" x14ac:dyDescent="0.3">
      <c r="B4" s="1" t="s">
        <v>12</v>
      </c>
      <c r="C4" s="1">
        <v>2</v>
      </c>
      <c r="D4" s="2">
        <v>2</v>
      </c>
      <c r="E4" s="2">
        <v>36</v>
      </c>
      <c r="F4" s="2">
        <v>-0.1</v>
      </c>
      <c r="G4" s="2" t="s">
        <v>16</v>
      </c>
      <c r="H4" s="2">
        <v>1300</v>
      </c>
      <c r="I4" s="2">
        <v>7</v>
      </c>
      <c r="J4" s="2" t="s">
        <v>7</v>
      </c>
      <c r="K4" s="2" t="s">
        <v>8</v>
      </c>
      <c r="L4" s="2" t="s">
        <v>9</v>
      </c>
      <c r="M4" s="2"/>
      <c r="N4" s="3" t="s">
        <v>45</v>
      </c>
    </row>
    <row r="5" spans="2:14" ht="15.75" thickBot="1" x14ac:dyDescent="0.3">
      <c r="B5" s="1"/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2:14" ht="15.75" thickBot="1" x14ac:dyDescent="0.3">
      <c r="B6" s="1"/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4" ht="15.75" thickBot="1" x14ac:dyDescent="0.3">
      <c r="B7" s="1"/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2:14" ht="15.75" thickBot="1" x14ac:dyDescent="0.3">
      <c r="B8" s="1"/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2:14" ht="15.75" thickBot="1" x14ac:dyDescent="0.3">
      <c r="B9" s="1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2:14" ht="15.75" thickBot="1" x14ac:dyDescent="0.3">
      <c r="B10" s="1"/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2:14" ht="15.75" thickBot="1" x14ac:dyDescent="0.3">
      <c r="B11" s="1"/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1AF3-FAAD-437D-B280-69CCB64B857F}">
  <dimension ref="B1:K4"/>
  <sheetViews>
    <sheetView workbookViewId="0">
      <selection activeCell="K4" sqref="K2:K4"/>
    </sheetView>
  </sheetViews>
  <sheetFormatPr defaultRowHeight="15" x14ac:dyDescent="0.25"/>
  <cols>
    <col min="2" max="2" width="16.42578125" customWidth="1"/>
    <col min="6" max="6" width="16.42578125" customWidth="1"/>
    <col min="7" max="7" width="15.28515625" customWidth="1"/>
    <col min="9" max="9" width="19.5703125" customWidth="1"/>
    <col min="10" max="10" width="18.42578125" customWidth="1"/>
    <col min="11" max="11" width="21.28515625" customWidth="1"/>
  </cols>
  <sheetData>
    <row r="1" spans="2:11" ht="15.75" thickBot="1" x14ac:dyDescent="0.3"/>
    <row r="2" spans="2:11" ht="45.75" thickBot="1" x14ac:dyDescent="0.3">
      <c r="B2" s="1" t="s">
        <v>10</v>
      </c>
      <c r="C2" s="1" t="s">
        <v>21</v>
      </c>
      <c r="D2" s="1" t="s">
        <v>35</v>
      </c>
      <c r="E2" s="1" t="s">
        <v>36</v>
      </c>
      <c r="F2" s="1" t="s">
        <v>43</v>
      </c>
      <c r="G2" s="1" t="s">
        <v>37</v>
      </c>
      <c r="H2" s="1" t="s">
        <v>28</v>
      </c>
      <c r="I2" s="1" t="s">
        <v>17</v>
      </c>
      <c r="J2" s="1" t="s">
        <v>34</v>
      </c>
      <c r="K2" s="1" t="s">
        <v>44</v>
      </c>
    </row>
    <row r="3" spans="2:11" ht="29.25" thickBot="1" x14ac:dyDescent="0.3">
      <c r="B3" s="1" t="s">
        <v>38</v>
      </c>
      <c r="C3" s="2" t="s">
        <v>39</v>
      </c>
      <c r="D3" s="2">
        <v>30</v>
      </c>
      <c r="E3" s="2">
        <v>0.7</v>
      </c>
      <c r="F3" s="2" t="s">
        <v>40</v>
      </c>
      <c r="G3" s="2" t="s">
        <v>41</v>
      </c>
      <c r="H3" s="2">
        <v>0.6</v>
      </c>
      <c r="I3" s="2" t="s">
        <v>42</v>
      </c>
      <c r="J3" s="2"/>
      <c r="K3" s="3" t="s">
        <v>45</v>
      </c>
    </row>
    <row r="4" spans="2:11" ht="15.75" thickBot="1" x14ac:dyDescent="0.3">
      <c r="B4" s="1"/>
      <c r="C4" s="2"/>
      <c r="D4" s="2"/>
      <c r="E4" s="2"/>
      <c r="F4" s="2"/>
      <c r="G4" s="2"/>
      <c r="H4" s="2"/>
      <c r="I4" s="2"/>
      <c r="J4" s="2"/>
      <c r="K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B899F-8279-44A8-AE92-7781FBA7A931}">
  <dimension ref="B1:L5"/>
  <sheetViews>
    <sheetView tabSelected="1" workbookViewId="0">
      <selection activeCell="L3" sqref="L3"/>
    </sheetView>
  </sheetViews>
  <sheetFormatPr defaultRowHeight="15" x14ac:dyDescent="0.25"/>
  <cols>
    <col min="1" max="1" width="3.42578125" customWidth="1"/>
    <col min="2" max="2" width="15.85546875" customWidth="1"/>
    <col min="5" max="5" width="21" customWidth="1"/>
    <col min="6" max="6" width="20.42578125" customWidth="1"/>
    <col min="7" max="7" width="16.5703125" customWidth="1"/>
    <col min="8" max="8" width="16" customWidth="1"/>
    <col min="9" max="9" width="19.28515625" customWidth="1"/>
    <col min="10" max="10" width="16.7109375" customWidth="1"/>
    <col min="12" max="12" width="23.140625" customWidth="1"/>
  </cols>
  <sheetData>
    <row r="1" spans="2:12" ht="15.75" thickBot="1" x14ac:dyDescent="0.3"/>
    <row r="2" spans="2:12" ht="75.75" thickBot="1" x14ac:dyDescent="0.3">
      <c r="B2" s="1" t="s">
        <v>10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34</v>
      </c>
      <c r="L2" s="1" t="s">
        <v>44</v>
      </c>
    </row>
    <row r="3" spans="2:12" ht="15.75" thickBot="1" x14ac:dyDescent="0.3">
      <c r="B3" s="1" t="s">
        <v>18</v>
      </c>
      <c r="C3" s="2" t="s">
        <v>29</v>
      </c>
      <c r="D3" s="2">
        <v>30</v>
      </c>
      <c r="E3" s="2">
        <v>2.2000000000000002</v>
      </c>
      <c r="F3" s="2" t="s">
        <v>30</v>
      </c>
      <c r="G3" s="2" t="s">
        <v>31</v>
      </c>
      <c r="H3" s="2" t="s">
        <v>19</v>
      </c>
      <c r="I3" s="2">
        <v>4</v>
      </c>
      <c r="J3" s="2">
        <v>0.5</v>
      </c>
      <c r="K3" s="2"/>
      <c r="L3" s="3" t="s">
        <v>45</v>
      </c>
    </row>
    <row r="4" spans="2:12" ht="15.75" thickBot="1" x14ac:dyDescent="0.3">
      <c r="B4" s="1" t="s">
        <v>20</v>
      </c>
      <c r="C4" s="2" t="s">
        <v>32</v>
      </c>
      <c r="D4" s="2">
        <v>-20</v>
      </c>
      <c r="E4" s="2">
        <v>-2</v>
      </c>
      <c r="F4" s="2" t="s">
        <v>30</v>
      </c>
      <c r="G4" s="2" t="s">
        <v>33</v>
      </c>
      <c r="H4" s="2">
        <f>-0.4 - -1.5</f>
        <v>1.1000000000000001</v>
      </c>
      <c r="I4" s="2">
        <v>8.1999999999999993</v>
      </c>
      <c r="J4" s="2">
        <v>0.5</v>
      </c>
      <c r="K4" s="2"/>
      <c r="L4" s="2"/>
    </row>
    <row r="5" spans="2:12" ht="15.75" thickBot="1" x14ac:dyDescent="0.3">
      <c r="B5" s="1"/>
      <c r="C5" s="2"/>
      <c r="D5" s="2"/>
      <c r="E5" s="2"/>
      <c r="F5" s="2"/>
      <c r="G5" s="2"/>
      <c r="H5" s="2"/>
      <c r="I5" s="2"/>
      <c r="J5" s="2"/>
      <c r="K5" s="2"/>
      <c r="L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Comparadores</vt:lpstr>
      <vt:lpstr>BJTs</vt:lpstr>
      <vt:lpstr>Mosfets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Brito</dc:creator>
  <cp:lastModifiedBy>Guilherme Brito</cp:lastModifiedBy>
  <dcterms:created xsi:type="dcterms:W3CDTF">2026-02-16T11:50:37Z</dcterms:created>
  <dcterms:modified xsi:type="dcterms:W3CDTF">2026-02-22T01:28:59Z</dcterms:modified>
</cp:coreProperties>
</file>